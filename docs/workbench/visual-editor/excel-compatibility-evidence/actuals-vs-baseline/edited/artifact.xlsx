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1 Named comparison measures" r:id="rId4" sheetId="2"/>
    <sheet name="Inputs" r:id="rId5" sheetId="3"/>
    <sheet name="Parameters" r:id="rId6" sheetId="4"/>
    <sheet name="Helper calculations" r:id="rId7" sheetId="5"/>
    <sheet name="Checks" r:id="rId8" sheetId="6"/>
    <sheet name="Audit snapshot" r:id="rId9" sheetId="7"/>
  </sheets>
  <definedNames>
    <definedName name="_xlnm.Print_Titles" localSheetId="1">'1 Named comparison measures'!$4:$4</definedName>
    <definedName name="supplied_quantity__A">'1 Named comparison measures'!$B$5</definedName>
    <definedName name="supplied_quantity__B">'1 Named comparison measures'!$C$5</definedName>
    <definedName name="supplied_quantity">'1 Named comparison measures'!$B$5:$C$5</definedName>
    <definedName name="actual_price__A">'1 Named comparison measures'!$B$6</definedName>
    <definedName name="actual_price__B">'1 Named comparison measures'!$C$6</definedName>
    <definedName name="actual_price">'1 Named comparison measures'!$B$6:$C$6</definedName>
    <definedName name="baseline_price__A">'1 Named comparison measures'!$B$7</definedName>
    <definedName name="baseline_price__B">'1 Named comparison measures'!$C$7</definedName>
    <definedName name="baseline_price">'1 Named comparison measures'!$B$7:$C$7</definedName>
    <definedName name="actual__A">'1 Named comparison measures'!$B$8</definedName>
    <definedName name="actual__B">'1 Named comparison measures'!$C$8</definedName>
    <definedName name="actual">'1 Named comparison measures'!$B$8:$C$8</definedName>
    <definedName name="baseline__A">'1 Named comparison measures'!$B$9</definedName>
    <definedName name="baseline__B">'1 Named comparison measures'!$C$9</definedName>
    <definedName name="baseline">'1 Named comparison measures'!$B$9:$C$9</definedName>
    <definedName name="variance__A">'1 Named comparison measures'!$B$10</definedName>
    <definedName name="variance__B">'1 Named comparison measures'!$C$10</definedName>
    <definedName name="variance">'1 Named comparison measures'!$B$10:$C$10</definedName>
    <definedName name="allowance__A">'1 Named comparison measures'!$B$11</definedName>
    <definedName name="allowance__B">'1 Named comparison measures'!$C$11</definedName>
    <definedName name="allowance">'1 Named comparison measures'!$B$11:$C$11</definedName>
    <definedName name="remaining__A">'1 Named comparison measures'!$B$12</definedName>
    <definedName name="remaining__B">'1 Named comparison measures'!$C$12</definedName>
    <definedName name="remaining">'1 Named comparison measures'!$B$12:$C$12</definedName>
    <definedName name="allowance_fits__A">'1 Named comparison measures'!$B$13</definedName>
    <definedName name="allowance_fits__B">'1 Named comparison measures'!$C$13</definedName>
    <definedName name="allowance_fits">'1 Named comparison measures'!$B$13:$C$13</definedName>
    <definedName name="amount_scale">'Inputs'!$C$11</definedName>
    <definedName name="entries__B__quantity">'Inputs'!$D$7</definedName>
    <definedName name="entries__B__baseline_price">'Inputs'!$F$7</definedName>
    <definedName name="entries__A__quantity">'Inputs'!$D$6</definedName>
    <definedName name="entries__A__actual_price">'Inputs'!$E$6</definedName>
    <definedName name="entries__A__baseline_price">'Inputs'!$F$6</definedName>
    <definedName name="entries__B__actual_price">'Inputs'!$E$7</definedName>
    <definedName name="entries__B__id">'Inputs'!$B$7</definedName>
    <definedName name="entries__B__allowance">'Inputs'!$G$7</definedName>
    <definedName name="entries__A__allowance">'Inputs'!$G$6</definedName>
    <definedName name="entries__A__id">'Inputs'!$B$6</definedName>
    <definedName name="entries__B__title">'Inputs'!$C$7</definedName>
    <definedName name="entries__A__title">'Inputs'!$C$6</definedName>
  </definedNames>
  <calcPr fullCalcOnLoad="true"/>
</workbook>
</file>

<file path=xl/sharedStrings.xml><?xml version="1.0" encoding="utf-8"?>
<sst xmlns="http://schemas.openxmlformats.org/spreadsheetml/2006/main" count="253" uniqueCount="176">
  <si>
    <t>Named comparison measures</t>
  </si>
  <si>
    <t>⌂ Mainline › 1 Named comparison measures</t>
  </si>
  <si>
    <t>Description</t>
  </si>
  <si>
    <t>Member A</t>
  </si>
  <si>
    <t>Member B</t>
  </si>
  <si>
    <t>Total</t>
  </si>
  <si>
    <t/>
  </si>
  <si>
    <t>Formula (Mantra DSL)</t>
  </si>
  <si>
    <t>Supplied quantity</t>
  </si>
  <si>
    <t>member.quantity</t>
  </si>
  <si>
    <t>Supplied actual price</t>
  </si>
  <si>
    <t>member.actual-price</t>
  </si>
  <si>
    <t>Supplied baseline price</t>
  </si>
  <si>
    <t>member.baseline-price</t>
  </si>
  <si>
    <t>Actual amount</t>
  </si>
  <si>
    <t>(pattern-rounded-product supplied-quantity actual-price amount-scale)</t>
  </si>
  <si>
    <t>Baseline amount</t>
  </si>
  <si>
    <t>(pattern-rounded-product supplied-quantity baseline-price amount-scale)</t>
  </si>
  <si>
    <t>Actual less baseline</t>
  </si>
  <si>
    <t>(- actual baseline)</t>
  </si>
  <si>
    <t>Supplied allowance</t>
  </si>
  <si>
    <t>member.allowance</t>
  </si>
  <si>
    <t>Allowance less actual</t>
  </si>
  <si>
    <t>(- allowance actual)</t>
  </si>
  <si>
    <t>Actual amount is within supplied allowance</t>
  </si>
  <si>
    <t>✗</t>
  </si>
  <si>
    <t>(&gt;= remaining 0)</t>
  </si>
  <si>
    <t>A signed difference has no implicit favourable or unfavourable interpretation.</t>
  </si>
  <si>
    <t>Inputs (yellow: editable)</t>
  </si>
  <si>
    <t>General</t>
  </si>
  <si>
    <t>entries</t>
  </si>
  <si>
    <t>id</t>
  </si>
  <si>
    <t>title</t>
  </si>
  <si>
    <t>quantity</t>
  </si>
  <si>
    <t>actual-price</t>
  </si>
  <si>
    <t>baseline-price</t>
  </si>
  <si>
    <t>allowance</t>
  </si>
  <si>
    <t>#1</t>
  </si>
  <si>
    <t>A</t>
  </si>
  <si>
    <t>#2</t>
  </si>
  <si>
    <t>B</t>
  </si>
  <si>
    <t>Explicit amount rounding scale</t>
  </si>
  <si>
    <t>amount-scale</t>
  </si>
  <si>
    <t>Parameters (blue: editable)</t>
  </si>
  <si>
    <t>Name</t>
  </si>
  <si>
    <t>Value</t>
  </si>
  <si>
    <t>Reference</t>
  </si>
  <si>
    <t>Helper calculations (conditions and lines not presented)</t>
  </si>
  <si>
    <t>Business checks</t>
  </si>
  <si>
    <t>Calculation continues when business checks fail.</t>
  </si>
  <si>
    <t>Provided: confirm a supplied fact; defaults and implicit zeros do not count.</t>
  </si>
  <si>
    <t>Check</t>
  </si>
  <si>
    <t>Provided</t>
  </si>
  <si>
    <t>Status</t>
  </si>
  <si>
    <t>Left</t>
  </si>
  <si>
    <t>Right</t>
  </si>
  <si>
    <t>Difference</t>
  </si>
  <si>
    <t>Tolerance</t>
  </si>
  <si>
    <t>Actual amount is within supplied allowance [A]</t>
  </si>
  <si>
    <t>Actual amount is within supplied allowance [B]</t>
  </si>
  <si>
    <t>entries · minimum rows</t>
  </si>
  <si>
    <t>Comparison measures</t>
  </si>
  <si>
    <t>Entity</t>
  </si>
  <si>
    <t>Fictional comparison inputs</t>
  </si>
  <si>
    <t>Calculation schema</t>
  </si>
  <si>
    <t>Actuals, baseline and remaining allowance v1.0.0 [pattern/actuals-vs-baseline]</t>
  </si>
  <si>
    <t>Structure of the calculation</t>
  </si>
  <si>
    <t>Step</t>
  </si>
  <si>
    <t>Panel</t>
  </si>
  <si>
    <t>Role</t>
  </si>
  <si>
    <t>Result</t>
  </si>
  <si>
    <t>feeds</t>
  </si>
  <si>
    <t>1</t>
  </si>
  <si>
    <t>Mainline</t>
  </si>
  <si>
    <t>Tick marks</t>
  </si>
  <si>
    <t>Input – editable, all formulas recalculate</t>
  </si>
  <si>
    <t>Schema parameter – editable</t>
  </si>
  <si>
    <t>Value without formula (see below)</t>
  </si>
  <si>
    <t>Formula coverage</t>
  </si>
  <si>
    <t>Formula cells</t>
  </si>
  <si>
    <t>29</t>
  </si>
  <si>
    <t>Values without formula</t>
  </si>
  <si>
    <t>0</t>
  </si>
  <si>
    <t>Audit trail</t>
  </si>
  <si>
    <t>Trace and original values are a generation-time snapshot. Edits recalculate formulas, not the trace.</t>
  </si>
  <si>
    <t>Snapshot status</t>
  </si>
  <si>
    <t>pattern/actuals-vs-baseline</t>
  </si>
  <si>
    <t>Case</t>
  </si>
  <si>
    <t>pattern/actuals-demo</t>
  </si>
  <si>
    <t>Line</t>
  </si>
  <si>
    <t>Formula</t>
  </si>
  <si>
    <t>Working</t>
  </si>
  <si>
    <t>1/1 Σ</t>
  </si>
  <si>
    <t>Supplied quantity (Total)</t>
  </si>
  <si>
    <t>21</t>
  </si>
  <si>
    <t>Σ contributions</t>
  </si>
  <si>
    <t>Σ contributions: [member=A] 13 included; [member=B] 8 included → 21</t>
  </si>
  <si>
    <t>1/4 Σ</t>
  </si>
  <si>
    <t>Actual amount (Total)</t>
  </si>
  <si>
    <t>236.00</t>
  </si>
  <si>
    <t>Σ contributions: [member=A] 156.00 included; [member=B] 80.00 included → 236.00</t>
  </si>
  <si>
    <t>1/4</t>
  </si>
  <si>
    <t>Actual amount [Member A]</t>
  </si>
  <si>
    <t>156.00</t>
  </si>
  <si>
    <t>[Audit trace was not requested]</t>
  </si>
  <si>
    <t>Actual amount [Member B]</t>
  </si>
  <si>
    <t>80.00</t>
  </si>
  <si>
    <t>1/5 Σ</t>
  </si>
  <si>
    <t>Baseline amount (Total)</t>
  </si>
  <si>
    <t>220.00</t>
  </si>
  <si>
    <t>Σ contributions: [member=A] 130.00 included; [member=B] 90.00 included → 220.00</t>
  </si>
  <si>
    <t>1/5</t>
  </si>
  <si>
    <t>Baseline amount [Member A]</t>
  </si>
  <si>
    <t>130.00</t>
  </si>
  <si>
    <t>Baseline amount [Member B]</t>
  </si>
  <si>
    <t>90.00</t>
  </si>
  <si>
    <t>1/6 Σ</t>
  </si>
  <si>
    <t>Actual less baseline (Total)</t>
  </si>
  <si>
    <t>16.00</t>
  </si>
  <si>
    <t>Σ contributions: [member=A] 26.00 included; [member=B] -10.00 included → 16.00</t>
  </si>
  <si>
    <t>1/6</t>
  </si>
  <si>
    <t>Actual less baseline [Member A]</t>
  </si>
  <si>
    <t>26.00</t>
  </si>
  <si>
    <t>Actual less baseline [Member B]</t>
  </si>
  <si>
    <t>(10.00)</t>
  </si>
  <si>
    <t>1/7 Σ</t>
  </si>
  <si>
    <t>Supplied allowance (Total)</t>
  </si>
  <si>
    <t>250.00</t>
  </si>
  <si>
    <t>Σ contributions: [member=A] 150 included; [member=B] 100 included → 250</t>
  </si>
  <si>
    <t>1/8 Σ</t>
  </si>
  <si>
    <t>Allowance less actual (Total)</t>
  </si>
  <si>
    <t>14.00</t>
  </si>
  <si>
    <t>Σ contributions: [member=A] -6.00 included; [member=B] 20.00 included → 14.00</t>
  </si>
  <si>
    <t>1/8</t>
  </si>
  <si>
    <t>Allowance less actual [Member A]</t>
  </si>
  <si>
    <t>(6.00)</t>
  </si>
  <si>
    <t>Allowance less actual [Member B]</t>
  </si>
  <si>
    <t>20.00</t>
  </si>
  <si>
    <t>1/9</t>
  </si>
  <si>
    <t>Actual amount is within supplied allowance [Member A]</t>
  </si>
  <si>
    <t>Actual amount is within supplied allowance [Member B]</t>
  </si>
  <si>
    <t>✓</t>
  </si>
  <si>
    <t>Original inputs and effective parameters</t>
  </si>
  <si>
    <t>Node</t>
  </si>
  <si>
    <t>Coordinate / field</t>
  </si>
  <si>
    <t>Original Excel value</t>
  </si>
  <si>
    <t>Exact engine value</t>
  </si>
  <si>
    <t>Origin</t>
  </si>
  <si>
    <t>Changed</t>
  </si>
  <si>
    <t>default</t>
  </si>
  <si>
    <t>2</t>
  </si>
  <si>
    <t>[2].title</t>
  </si>
  <si>
    <t>input</t>
  </si>
  <si>
    <t>"Member B"</t>
  </si>
  <si>
    <t>[2].allowance</t>
  </si>
  <si>
    <t>100</t>
  </si>
  <si>
    <t>[1].baseline-price</t>
  </si>
  <si>
    <t>10</t>
  </si>
  <si>
    <t>[1].actual-price</t>
  </si>
  <si>
    <t>12</t>
  </si>
  <si>
    <t>[2].baseline-price</t>
  </si>
  <si>
    <t>11.25</t>
  </si>
  <si>
    <t>[2].quantity</t>
  </si>
  <si>
    <t>8</t>
  </si>
  <si>
    <t>[2].actual-price</t>
  </si>
  <si>
    <t>[1].quantity</t>
  </si>
  <si>
    <t>13</t>
  </si>
  <si>
    <t>[1].id</t>
  </si>
  <si>
    <t>:A</t>
  </si>
  <si>
    <t>[2].id</t>
  </si>
  <si>
    <t>:B</t>
  </si>
  <si>
    <t>[1].allowance</t>
  </si>
  <si>
    <t>150</t>
  </si>
  <si>
    <t>[1].title</t>
  </si>
  <si>
    <t>"Member A"</t>
  </si>
  <si>
    <t>Audit snapshot (at generation)</t>
  </si>
</sst>
</file>

<file path=xl/styles.xml><?xml version="1.0" encoding="utf-8"?>
<styleSheet xmlns="http://schemas.openxmlformats.org/spreadsheetml/2006/main">
  <numFmts count="1">
    <numFmt numFmtId="164" formatCode="#,##0.00;(#,##0.00);&quot;–&quot;"/>
  </numFmts>
  <fonts count="1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0.0"/>
      <i val="true"/>
      <color rgb="FF1F5FBF"/>
      <u val="single"/>
    </font>
    <font>
      <name val="Calibri"/>
      <sz val="10.0"/>
      <b val="true"/>
    </font>
    <font>
      <name val="Calibri"/>
      <sz val="10.0"/>
      <color rgb="FF6B7280"/>
    </font>
    <font>
      <name val="Calibri"/>
      <sz val="10.0"/>
      <i val="true"/>
      <color rgb="FF6B7280"/>
    </font>
    <font>
      <name val="Calibri"/>
      <sz val="10.0"/>
    </font>
    <font>
      <name val="Calibri"/>
      <sz val="10.0"/>
      <b val="true"/>
      <color rgb="FF1F5FBF"/>
    </font>
    <font>
      <name val="Calibri"/>
      <sz val="10.0"/>
      <i val="true"/>
      <color rgb="FF6B7280"/>
    </font>
    <font>
      <name val="Calibri"/>
      <sz val="10.0"/>
    </font>
    <font>
      <name val="Calibri"/>
      <sz val="15.0"/>
      <b val="true"/>
    </font>
    <font>
      <name val="Calibri"/>
      <sz val="12.0"/>
      <b val="true"/>
    </font>
    <font>
      <name val="Calibri"/>
      <sz val="10.0"/>
      <b val="true"/>
      <color rgb="FF1F5FBF"/>
      <u val="single"/>
    </font>
  </fonts>
  <fills count="12">
    <fill>
      <patternFill patternType="none"/>
    </fill>
    <fill>
      <patternFill patternType="darkGray"/>
    </fill>
    <fill>
      <patternFill patternType="none">
        <fgColor rgb="E7EAEE"/>
      </patternFill>
    </fill>
    <fill>
      <patternFill patternType="solid">
        <fgColor rgb="E7EAEE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rgb="EEF3FA"/>
      </patternFill>
    </fill>
    <fill>
      <patternFill patternType="solid">
        <fgColor rgb="EEF3FA"/>
      </patternFill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CE4D6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 applyAlignment="true">
      <alignment horizontal="general" vertical="top" wrapText="false" indent="0"/>
    </xf>
    <xf numFmtId="0" fontId="2" fillId="0" borderId="0" xfId="0" applyFont="true" applyAlignment="true">
      <alignment horizontal="general" vertical="top" wrapText="false" indent="0"/>
    </xf>
    <xf numFmtId="0" fontId="3" fillId="3" borderId="1" xfId="0" applyFont="true" applyFill="true" applyBorder="true" applyAlignment="true">
      <alignment horizontal="left" vertical="top" wrapText="true" indent="0"/>
    </xf>
    <xf numFmtId="0" fontId="3" fillId="3" borderId="1" xfId="0" applyFont="true" applyFill="true" applyBorder="true" applyAlignment="true">
      <alignment horizontal="right" vertical="top" wrapText="true" indent="0"/>
    </xf>
    <xf numFmtId="0" fontId="4" fillId="0" borderId="0" xfId="0" applyFont="true" applyAlignment="true">
      <alignment horizontal="general" vertical="top" wrapText="false" indent="0"/>
    </xf>
    <xf numFmtId="0" fontId="4" fillId="0" borderId="0" xfId="0" applyFont="true" applyAlignment="true">
      <alignment horizontal="center" vertical="top" wrapText="false" indent="0"/>
    </xf>
    <xf numFmtId="0" fontId="5" fillId="0" borderId="0" xfId="0" applyFont="true" applyAlignment="true">
      <alignment horizontal="general" vertical="top" wrapText="false" indent="0"/>
    </xf>
    <xf numFmtId="0" fontId="4" fillId="3" borderId="0" xfId="0" applyFont="true" applyFill="true" applyAlignment="true">
      <alignment horizontal="general" vertical="top" wrapText="false" indent="0"/>
    </xf>
    <xf numFmtId="0" fontId="4" fillId="3" borderId="0" xfId="0" applyFont="true" applyFill="true" applyAlignment="true">
      <alignment horizontal="center" vertical="top" wrapText="false" indent="0"/>
    </xf>
    <xf numFmtId="0" fontId="6" fillId="0" borderId="0" xfId="0" applyFont="true" applyAlignment="true">
      <alignment horizontal="general" vertical="top" wrapText="false" indent="0"/>
    </xf>
    <xf numFmtId="0" fontId="6" fillId="0" borderId="0" xfId="0" applyFont="true" applyAlignment="true">
      <alignment horizontal="center" vertical="top" wrapText="false" indent="0"/>
    </xf>
    <xf numFmtId="0" fontId="7" fillId="3" borderId="0" xfId="0" applyFont="true" applyFill="true" applyAlignment="true">
      <alignment horizontal="general" vertical="top" wrapText="false" indent="0"/>
    </xf>
    <xf numFmtId="0" fontId="7" fillId="3" borderId="0" xfId="0" applyFont="true" applyFill="true" applyAlignment="true">
      <alignment horizontal="center" vertical="top" wrapText="false" indent="0"/>
    </xf>
    <xf numFmtId="0" fontId="7" fillId="0" borderId="0" xfId="0" applyFont="true" applyAlignment="true">
      <alignment horizontal="general" vertical="top" wrapText="false" indent="0"/>
    </xf>
    <xf numFmtId="0" fontId="7" fillId="0" borderId="0" xfId="0" applyFont="true" applyAlignment="true">
      <alignment horizontal="center" vertical="top" wrapText="false" indent="0"/>
    </xf>
    <xf numFmtId="0" fontId="8" fillId="0" borderId="0" xfId="0" applyFont="true" applyAlignment="true">
      <alignment horizontal="general" vertical="top" wrapText="false" indent="0"/>
    </xf>
    <xf numFmtId="0" fontId="3" fillId="3" borderId="0" xfId="0" applyFont="true" applyFill="true" applyAlignment="true">
      <alignment horizontal="general" vertical="top" wrapText="false" indent="0"/>
    </xf>
    <xf numFmtId="0" fontId="3" fillId="0" borderId="0" xfId="0" applyFont="true" applyAlignment="true">
      <alignment horizontal="general" vertical="top" wrapText="false" indent="0"/>
    </xf>
    <xf numFmtId="0" fontId="3" fillId="3" borderId="1" xfId="0" applyFont="true" applyFill="true" applyBorder="true" applyAlignment="true">
      <alignment horizontal="general" vertical="top" wrapText="false" indent="0"/>
    </xf>
    <xf numFmtId="0" fontId="6" fillId="0" borderId="0" xfId="0" applyFont="true" applyAlignment="true">
      <alignment horizontal="general" vertical="top" wrapText="false" indent="0"/>
    </xf>
    <xf numFmtId="0" fontId="9" fillId="5" borderId="0" xfId="0" applyFont="true" applyFill="true" applyAlignment="true">
      <alignment horizontal="general" vertical="top" wrapText="false" indent="0"/>
    </xf>
    <xf numFmtId="164" fontId="9" fillId="5" borderId="0" xfId="0" applyNumberFormat="true" applyFont="true" applyFill="true" applyAlignment="true">
      <alignment horizontal="general" vertical="top" wrapText="false" indent="0"/>
    </xf>
    <xf numFmtId="0" fontId="9" fillId="0" borderId="0" xfId="0" applyFont="true" applyAlignment="true">
      <alignment horizontal="general" vertical="top" wrapText="false" indent="0"/>
    </xf>
    <xf numFmtId="0" fontId="4" fillId="0" borderId="0" xfId="0" applyNumberFormat="true" applyFont="true" applyAlignment="true">
      <alignment horizontal="general" vertical="top" wrapText="false" indent="0"/>
    </xf>
    <xf numFmtId="164" fontId="4" fillId="0" borderId="0" xfId="0" applyNumberFormat="true" applyFont="true" applyAlignment="true">
      <alignment horizontal="general" vertical="top" wrapText="false" indent="0"/>
    </xf>
    <xf numFmtId="164" fontId="4" fillId="3" borderId="0" xfId="0" applyNumberFormat="true" applyFont="true" applyFill="true" applyAlignment="true">
      <alignment horizontal="general" vertical="top" wrapText="false" indent="0"/>
    </xf>
    <xf numFmtId="164" fontId="6" fillId="0" borderId="0" xfId="0" applyNumberFormat="true" applyFont="true" applyAlignment="true">
      <alignment horizontal="general" vertical="top" wrapText="false" indent="0"/>
    </xf>
    <xf numFmtId="164" fontId="7" fillId="3" borderId="0" xfId="0" applyNumberFormat="true" applyFont="true" applyFill="true" applyAlignment="true">
      <alignment horizontal="general" vertical="top" wrapText="false" indent="0"/>
    </xf>
    <xf numFmtId="164" fontId="7" fillId="0" borderId="0" xfId="0" applyNumberFormat="true" applyFont="true" applyAlignment="true">
      <alignment horizontal="general" vertical="top" wrapText="false" indent="0"/>
    </xf>
    <xf numFmtId="0" fontId="10" fillId="0" borderId="0" xfId="0" applyFont="true" applyAlignment="true">
      <alignment horizontal="general" vertical="top" wrapText="false" indent="0"/>
    </xf>
    <xf numFmtId="164" fontId="3" fillId="7" borderId="0" xfId="0" applyNumberFormat="true" applyFont="true" applyFill="true" applyAlignment="true">
      <alignment horizontal="general" vertical="top" wrapText="false" indent="0"/>
    </xf>
    <xf numFmtId="0" fontId="11" fillId="0" borderId="0" xfId="0" applyFont="true" applyAlignment="true">
      <alignment horizontal="general" vertical="top" wrapText="false" indent="0"/>
    </xf>
    <xf numFmtId="0" fontId="3" fillId="3" borderId="1" xfId="0" applyFont="true" applyFill="true" applyBorder="true" applyAlignment="true">
      <alignment horizontal="left" vertical="top" wrapText="false" indent="0"/>
    </xf>
    <xf numFmtId="0" fontId="3" fillId="3" borderId="1" xfId="0" applyFont="true" applyFill="true" applyBorder="true" applyAlignment="true">
      <alignment horizontal="right" vertical="top" wrapText="false" indent="0"/>
    </xf>
    <xf numFmtId="0" fontId="12" fillId="0" borderId="0" xfId="0" applyFont="true" applyAlignment="true">
      <alignment horizontal="general" vertical="top" wrapText="false" indent="0"/>
    </xf>
    <xf numFmtId="0" fontId="9" fillId="9" borderId="0" xfId="0" applyFont="true" applyFill="true" applyAlignment="true">
      <alignment horizontal="general" vertical="top" wrapText="false" indent="0"/>
    </xf>
    <xf numFmtId="0" fontId="9" fillId="11" borderId="0" xfId="0" applyFont="true" applyFill="true" applyAlignment="true">
      <alignment horizontal="general" vertical="top" wrapText="false" indent="0"/>
    </xf>
    <xf numFmtId="0" fontId="6" fillId="0" borderId="0" xfId="0" applyFont="true" applyAlignment="true">
      <alignment horizontal="general" vertical="top" wrapText="true" indent="0"/>
    </xf>
    <xf numFmtId="0" fontId="9" fillId="0" borderId="0" xfId="0" applyFont="true" applyAlignment="true">
      <alignment horizontal="general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0.0" customWidth="true"/>
    <col min="2" max="2" width="60.0" customWidth="true"/>
    <col min="3" max="3" width="22.0" customWidth="true"/>
    <col min="4" max="4" width="18.0" customWidth="true"/>
    <col min="5" max="5" width="60.0" customWidth="true"/>
  </cols>
  <sheetData>
    <row r="1">
      <c r="A1" t="s" s="30">
        <v>61</v>
      </c>
    </row>
    <row r="2">
      <c r="E2" t="s" s="23">
        <v>175</v>
      </c>
    </row>
    <row r="3">
      <c r="E3" t="str" s="0">
        <f>'Audit snapshot'!$B$3</f>
        <v>current</v>
      </c>
    </row>
    <row r="4">
      <c r="A4" t="s" s="20">
        <v>62</v>
      </c>
      <c r="B4" t="s" s="23">
        <v>63</v>
      </c>
    </row>
    <row r="5">
      <c r="A5" t="s" s="20">
        <v>64</v>
      </c>
      <c r="B5" t="s" s="23">
        <v>65</v>
      </c>
    </row>
    <row r="6">
      <c r="A6" t="s" s="18">
        <v>22</v>
      </c>
      <c r="B6" s="31" t="n">
        <f>SUM(remaining)</f>
        <v>14.0</v>
      </c>
    </row>
    <row r="8">
      <c r="A8" t="s" s="32">
        <v>66</v>
      </c>
    </row>
    <row r="9">
      <c r="A9" t="s" s="33">
        <v>67</v>
      </c>
      <c r="B9" t="s" s="33">
        <v>68</v>
      </c>
      <c r="C9" t="s" s="33">
        <v>69</v>
      </c>
      <c r="D9" t="s" s="34">
        <v>70</v>
      </c>
      <c r="E9" t="s" s="33">
        <v>71</v>
      </c>
    </row>
    <row r="10">
      <c r="A10" t="s" s="18">
        <v>72</v>
      </c>
      <c r="B10" t="s" s="35">
        <v>0</v>
      </c>
      <c r="C10" t="s" s="20">
        <v>73</v>
      </c>
    </row>
    <row r="12">
      <c r="A12" t="s" s="18">
        <v>74</v>
      </c>
    </row>
    <row r="13">
      <c r="A13" s="21"/>
      <c r="B13" t="s" s="23">
        <v>75</v>
      </c>
    </row>
    <row r="14">
      <c r="A14" s="36"/>
      <c r="B14" t="s" s="23">
        <v>76</v>
      </c>
    </row>
    <row r="15">
      <c r="A15" s="37"/>
      <c r="B15" t="s" s="23">
        <v>77</v>
      </c>
    </row>
    <row r="17">
      <c r="A17" t="s" s="18">
        <v>78</v>
      </c>
    </row>
    <row r="18">
      <c r="B18" t="s" s="23">
        <v>79</v>
      </c>
      <c r="C18" t="s" s="23">
        <v>80</v>
      </c>
    </row>
    <row r="19">
      <c r="B19" t="s" s="23">
        <v>81</v>
      </c>
      <c r="C19" t="s" s="23">
        <v>82</v>
      </c>
    </row>
  </sheetData>
  <hyperlinks>
    <hyperlink location="'1 Named comparison measures'!A1" ref="B10"/>
    <hyperlink location="'Audit snapshot'!A1" ref="E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true"/>
    <pageSetUpPr fitToPage="true"/>
  </sheetPr>
  <dimension ref="A1:F14"/>
  <sheetViews>
    <sheetView workbookViewId="0">
      <pane ySplit="4.0" state="frozen" topLeftCell="A5" activePane="bottomLeft"/>
      <selection pane="bottomLeft"/>
    </sheetView>
  </sheetViews>
  <sheetFormatPr defaultRowHeight="15.0" outlineLevelCol="1"/>
  <cols>
    <col min="1" max="1" width="62.0" customWidth="true"/>
    <col min="2" max="2" width="14.0" customWidth="true"/>
    <col min="3" max="3" width="14.0" customWidth="true"/>
    <col min="4" max="4" width="16.0" customWidth="true"/>
    <col min="5" max="5" width="4.0" customWidth="true"/>
    <col min="6" max="6" customWidth="true" width="60.0" outlineLevel="1" hidden="true"/>
    <col min="7" max="7" collapsed="true" width="8.0" customWidth="fals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4">
        <v>3</v>
      </c>
      <c r="C4" t="s" s="4">
        <v>4</v>
      </c>
      <c r="D4" t="s" s="4">
        <v>5</v>
      </c>
      <c r="E4" t="s" s="3">
        <v>6</v>
      </c>
      <c r="F4" t="s" s="3">
        <v>7</v>
      </c>
    </row>
    <row r="5">
      <c r="A5" t="s" s="5">
        <v>8</v>
      </c>
      <c r="B5" s="24" t="n">
        <f>entries__A__quantity</f>
        <v>13.0</v>
      </c>
      <c r="C5" s="24" t="n">
        <f>entries__B__quantity</f>
        <v>8.0</v>
      </c>
      <c r="D5" s="24" t="n">
        <f>SUM(supplied_quantity)</f>
        <v>21.0</v>
      </c>
      <c r="E5" t="s" s="6">
        <v>6</v>
      </c>
      <c r="F5" t="s" s="7">
        <v>9</v>
      </c>
    </row>
    <row r="6">
      <c r="A6" t="s" s="5">
        <v>10</v>
      </c>
      <c r="B6" s="25" t="n">
        <f>entries__A__actual_price</f>
        <v>12.0</v>
      </c>
      <c r="C6" s="25" t="n">
        <f>entries__B__actual_price</f>
        <v>10.0</v>
      </c>
      <c r="E6" t="s" s="6">
        <v>6</v>
      </c>
      <c r="F6" t="s" s="7">
        <v>11</v>
      </c>
    </row>
    <row r="7">
      <c r="A7" t="s" s="8">
        <v>12</v>
      </c>
      <c r="B7" s="26" t="n">
        <f>entries__A__baseline_price</f>
        <v>10.0</v>
      </c>
      <c r="C7" s="26" t="n">
        <f>entries__B__baseline_price</f>
        <v>11.25</v>
      </c>
      <c r="E7" t="s" s="9">
        <v>6</v>
      </c>
      <c r="F7" t="s" s="7">
        <v>13</v>
      </c>
    </row>
    <row r="8">
      <c r="A8" t="s" s="10">
        <v>14</v>
      </c>
      <c r="B8" s="27" t="n">
        <f>ROUND(supplied_quantity__A*actual_price__A,amount_scale)</f>
        <v>156.0</v>
      </c>
      <c r="C8" s="27" t="n">
        <f>ROUND(supplied_quantity__B*actual_price__B,amount_scale)</f>
        <v>80.0</v>
      </c>
      <c r="D8" s="27" t="n">
        <f>SUM(actual)</f>
        <v>236.0</v>
      </c>
      <c r="E8" t="s" s="11">
        <v>6</v>
      </c>
      <c r="F8" t="s" s="7">
        <v>15</v>
      </c>
    </row>
    <row r="9">
      <c r="A9" t="s" s="10">
        <v>16</v>
      </c>
      <c r="B9" s="27" t="n">
        <f>ROUND(supplied_quantity__A*baseline_price__A,amount_scale)</f>
        <v>130.0</v>
      </c>
      <c r="C9" s="27" t="n">
        <f>ROUND(supplied_quantity__B*baseline_price__B,amount_scale)</f>
        <v>90.0</v>
      </c>
      <c r="D9" s="27" t="n">
        <f>SUM(baseline)</f>
        <v>220.0</v>
      </c>
      <c r="E9" t="s" s="11">
        <v>6</v>
      </c>
      <c r="F9" t="s" s="7">
        <v>17</v>
      </c>
    </row>
    <row r="10">
      <c r="A10" t="s" s="12">
        <v>18</v>
      </c>
      <c r="B10" s="28" t="n">
        <f>actual__A-baseline__A</f>
        <v>26.0</v>
      </c>
      <c r="C10" s="28" t="n">
        <f>actual__B-baseline__B</f>
        <v>-10.0</v>
      </c>
      <c r="D10" s="28" t="n">
        <f>SUM(variance)</f>
        <v>16.0</v>
      </c>
      <c r="E10" t="s" s="13">
        <v>6</v>
      </c>
      <c r="F10" t="s" s="7">
        <v>19</v>
      </c>
    </row>
    <row r="11">
      <c r="A11" t="s" s="8">
        <v>20</v>
      </c>
      <c r="B11" s="26" t="n">
        <f>entries__A__allowance</f>
        <v>150.0</v>
      </c>
      <c r="C11" s="26" t="n">
        <f>entries__B__allowance</f>
        <v>100.0</v>
      </c>
      <c r="D11" s="26" t="n">
        <f>SUM(allowance)</f>
        <v>250.0</v>
      </c>
      <c r="E11" t="s" s="9">
        <v>6</v>
      </c>
      <c r="F11" t="s" s="7">
        <v>21</v>
      </c>
    </row>
    <row r="12">
      <c r="A12" t="s" s="12">
        <v>22</v>
      </c>
      <c r="B12" s="28" t="n">
        <f>allowance__A-actual__A</f>
        <v>-6.0</v>
      </c>
      <c r="C12" s="28" t="n">
        <f>allowance__B-actual__B</f>
        <v>20.0</v>
      </c>
      <c r="D12" s="28" t="n">
        <f>SUM(remaining)</f>
        <v>14.0</v>
      </c>
      <c r="E12" t="s" s="13">
        <v>6</v>
      </c>
      <c r="F12" t="s" s="7">
        <v>23</v>
      </c>
    </row>
    <row r="13">
      <c r="A13" t="s" s="14">
        <v>24</v>
      </c>
      <c r="B13" s="29" t="b">
        <f>IF(TRUE,remaining__A&gt;=0,"")</f>
        <v>0</v>
      </c>
      <c r="C13" s="29" t="b">
        <f>IF(TRUE,remaining__B&gt;=0,"")</f>
        <v>1</v>
      </c>
      <c r="E13" t="str" s="15">
        <f>IF(OR(TRUE,TRUE),IF(AND(IF(TRUE,allowance_fits__A,TRUE),IF(TRUE,allowance_fits__B,TRUE)),"✓","✗"),"")</f>
        <v>✗</v>
      </c>
      <c r="F13" t="s" s="7">
        <v>26</v>
      </c>
    </row>
    <row r="14">
      <c r="A14" t="s" s="16">
        <v>27</v>
      </c>
      <c r="E14" t="s" s="6">
        <v>6</v>
      </c>
    </row>
  </sheetData>
  <hyperlinks>
    <hyperlink location="'Overview'!A1" ref="A2"/>
  </hyperlinks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</cols>
  <sheetData>
    <row r="1">
      <c r="A1" t="s" s="1">
        <v>28</v>
      </c>
    </row>
    <row r="3">
      <c r="A3" t="s" s="17">
        <v>29</v>
      </c>
    </row>
    <row r="4">
      <c r="A4" t="s" s="18">
        <v>30</v>
      </c>
    </row>
    <row r="5">
      <c r="B5" t="s" s="19">
        <v>31</v>
      </c>
      <c r="C5" t="s" s="19">
        <v>32</v>
      </c>
      <c r="D5" t="s" s="19">
        <v>33</v>
      </c>
      <c r="E5" t="s" s="19">
        <v>34</v>
      </c>
      <c r="F5" t="s" s="19">
        <v>35</v>
      </c>
      <c r="G5" t="s" s="19">
        <v>36</v>
      </c>
    </row>
    <row r="6">
      <c r="A6" t="s" s="20">
        <v>37</v>
      </c>
      <c r="B6" t="s" s="21">
        <v>38</v>
      </c>
      <c r="C6" t="s" s="21">
        <v>3</v>
      </c>
      <c r="D6" t="n" s="22">
        <v>13.0</v>
      </c>
      <c r="E6" t="n" s="22">
        <v>12.0</v>
      </c>
      <c r="F6" t="n" s="22">
        <v>10.0</v>
      </c>
      <c r="G6" t="n" s="22">
        <v>150.0</v>
      </c>
    </row>
    <row r="7">
      <c r="A7" t="s" s="20">
        <v>39</v>
      </c>
      <c r="B7" t="s" s="21">
        <v>40</v>
      </c>
      <c r="C7" t="s" s="21">
        <v>4</v>
      </c>
      <c r="D7" t="n" s="22">
        <v>8.0</v>
      </c>
      <c r="E7" t="n" s="22">
        <v>10.0</v>
      </c>
      <c r="F7" t="n" s="22">
        <v>11.25</v>
      </c>
      <c r="G7" t="n" s="22">
        <v>100.0</v>
      </c>
    </row>
    <row r="10">
      <c r="A10" t="s" s="17">
        <v>0</v>
      </c>
    </row>
    <row r="11">
      <c r="A11" t="s" s="23">
        <v>41</v>
      </c>
      <c r="B11" t="s" s="20">
        <v>42</v>
      </c>
      <c r="C11" t="n" s="22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50.0" customWidth="true"/>
    <col min="2" max="2" width="32.0" customWidth="true"/>
    <col min="3" max="3" width="16.0" customWidth="true"/>
    <col min="4" max="4" width="40.0" customWidth="true"/>
  </cols>
  <sheetData>
    <row r="1">
      <c r="A1" t="s" s="1">
        <v>43</v>
      </c>
    </row>
    <row r="3">
      <c r="A3" t="s" s="19">
        <v>2</v>
      </c>
      <c r="B3" t="s" s="19">
        <v>44</v>
      </c>
      <c r="C3" t="s" s="19">
        <v>45</v>
      </c>
      <c r="D3" t="s" s="19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60.0" customWidth="true"/>
  </cols>
  <sheetData>
    <row r="1">
      <c r="A1" t="s" s="1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48.0" customWidth="true"/>
    <col min="2" max="2" width="18.0" customWidth="true"/>
    <col min="3" max="3" width="18.0" customWidth="true"/>
    <col min="4" max="4" width="22.0" customWidth="true"/>
    <col min="5" max="5" width="22.0" customWidth="true"/>
    <col min="6" max="6" width="22.0" customWidth="true"/>
    <col min="7" max="7" width="18.0" customWidth="true"/>
  </cols>
  <sheetData>
    <row r="1">
      <c r="A1" t="s" s="1">
        <v>48</v>
      </c>
    </row>
    <row r="2">
      <c r="A2" t="s" s="23">
        <v>49</v>
      </c>
    </row>
    <row r="3">
      <c r="A3" t="s" s="23">
        <v>50</v>
      </c>
    </row>
    <row r="5">
      <c r="A5" t="s" s="17">
        <v>51</v>
      </c>
      <c r="B5" t="s" s="17">
        <v>52</v>
      </c>
      <c r="C5" t="s" s="17">
        <v>53</v>
      </c>
      <c r="D5" t="s" s="17">
        <v>54</v>
      </c>
      <c r="E5" t="s" s="17">
        <v>55</v>
      </c>
      <c r="F5" t="s" s="17">
        <v>56</v>
      </c>
      <c r="G5" t="s" s="17">
        <v>57</v>
      </c>
    </row>
    <row r="6">
      <c r="A6" t="s" s="23">
        <v>58</v>
      </c>
      <c r="C6" t="str" s="0">
        <f>IF(TRUE,IF(allowance_fits__A,"✓","✗"),"")</f>
        <v>✗</v>
      </c>
    </row>
    <row r="7">
      <c r="A7" t="s" s="23">
        <v>59</v>
      </c>
      <c r="C7" t="str" s="0">
        <f>IF(TRUE,IF(allowance_fits__B,"✓","✗"),"")</f>
        <v>✓</v>
      </c>
    </row>
    <row r="8">
      <c r="A8" t="s" s="23">
        <v>60</v>
      </c>
      <c r="C8" t="str" s="0">
        <f>IF(TRUE,IF(2&gt;=1,"✓","✗"),"")</f>
        <v>✓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0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6.0" customWidth="true"/>
    <col min="2" max="2" width="36.0" customWidth="true"/>
    <col min="3" max="3" width="64.0" customWidth="true"/>
    <col min="4" max="4" width="80.0" customWidth="true"/>
    <col min="5" max="5" width="24.0" customWidth="true"/>
    <col min="6" max="6" width="12.0" customWidth="true"/>
  </cols>
  <sheetData>
    <row r="1">
      <c r="A1" t="s" s="1">
        <v>83</v>
      </c>
    </row>
    <row r="2">
      <c r="A2" t="s" s="38">
        <v>84</v>
      </c>
    </row>
    <row r="3">
      <c r="A3" t="s" s="18">
        <v>85</v>
      </c>
      <c r="B3" t="str" s="0">
        <f>IF(SUM(SUM('Audit snapshot'!$F$28:$F$40))&gt;0,"outdated","current")</f>
        <v>current</v>
      </c>
    </row>
    <row r="4">
      <c r="A4" t="s" s="23">
        <v>64</v>
      </c>
      <c r="B4" t="s" s="23">
        <v>86</v>
      </c>
    </row>
    <row r="5">
      <c r="A5" t="s" s="23">
        <v>87</v>
      </c>
      <c r="B5" t="s" s="23">
        <v>88</v>
      </c>
    </row>
    <row r="7">
      <c r="A7" t="s" s="19">
        <v>89</v>
      </c>
      <c r="B7" t="s" s="19">
        <v>2</v>
      </c>
      <c r="C7" t="s" s="19">
        <v>90</v>
      </c>
      <c r="D7" t="s" s="19">
        <v>91</v>
      </c>
      <c r="E7" t="s" s="19">
        <v>70</v>
      </c>
    </row>
    <row r="8">
      <c r="A8" t="s" s="23">
        <v>92</v>
      </c>
      <c r="B8" t="s" s="23">
        <v>93</v>
      </c>
      <c r="C8" t="s" s="38">
        <v>95</v>
      </c>
      <c r="D8" t="s" s="39">
        <v>96</v>
      </c>
      <c r="E8" t="s" s="23">
        <v>94</v>
      </c>
    </row>
    <row r="9">
      <c r="A9" t="s" s="23">
        <v>97</v>
      </c>
      <c r="B9" t="s" s="23">
        <v>98</v>
      </c>
      <c r="C9" t="s" s="38">
        <v>95</v>
      </c>
      <c r="D9" t="s" s="39">
        <v>100</v>
      </c>
      <c r="E9" t="s" s="23">
        <v>99</v>
      </c>
    </row>
    <row r="10">
      <c r="A10" t="s" s="23">
        <v>101</v>
      </c>
      <c r="B10" t="s" s="23">
        <v>102</v>
      </c>
      <c r="C10" t="s" s="38">
        <v>15</v>
      </c>
      <c r="D10" t="s" s="39">
        <v>104</v>
      </c>
      <c r="E10" t="s" s="23">
        <v>103</v>
      </c>
    </row>
    <row r="11">
      <c r="A11" t="s" s="23">
        <v>101</v>
      </c>
      <c r="B11" t="s" s="23">
        <v>105</v>
      </c>
      <c r="C11" t="s" s="38">
        <v>15</v>
      </c>
      <c r="D11" t="s" s="39">
        <v>104</v>
      </c>
      <c r="E11" t="s" s="23">
        <v>106</v>
      </c>
    </row>
    <row r="12">
      <c r="A12" t="s" s="23">
        <v>107</v>
      </c>
      <c r="B12" t="s" s="23">
        <v>108</v>
      </c>
      <c r="C12" t="s" s="38">
        <v>95</v>
      </c>
      <c r="D12" t="s" s="39">
        <v>110</v>
      </c>
      <c r="E12" t="s" s="23">
        <v>109</v>
      </c>
    </row>
    <row r="13">
      <c r="A13" t="s" s="23">
        <v>111</v>
      </c>
      <c r="B13" t="s" s="23">
        <v>112</v>
      </c>
      <c r="C13" t="s" s="38">
        <v>17</v>
      </c>
      <c r="D13" t="s" s="39">
        <v>104</v>
      </c>
      <c r="E13" t="s" s="23">
        <v>113</v>
      </c>
    </row>
    <row r="14">
      <c r="A14" t="s" s="23">
        <v>111</v>
      </c>
      <c r="B14" t="s" s="23">
        <v>114</v>
      </c>
      <c r="C14" t="s" s="38">
        <v>17</v>
      </c>
      <c r="D14" t="s" s="39">
        <v>104</v>
      </c>
      <c r="E14" t="s" s="23">
        <v>115</v>
      </c>
    </row>
    <row r="15">
      <c r="A15" t="s" s="23">
        <v>116</v>
      </c>
      <c r="B15" t="s" s="23">
        <v>117</v>
      </c>
      <c r="C15" t="s" s="38">
        <v>95</v>
      </c>
      <c r="D15" t="s" s="39">
        <v>119</v>
      </c>
      <c r="E15" t="s" s="23">
        <v>118</v>
      </c>
    </row>
    <row r="16">
      <c r="A16" t="s" s="23">
        <v>120</v>
      </c>
      <c r="B16" t="s" s="23">
        <v>121</v>
      </c>
      <c r="C16" t="s" s="38">
        <v>19</v>
      </c>
      <c r="D16" t="s" s="39">
        <v>104</v>
      </c>
      <c r="E16" t="s" s="23">
        <v>122</v>
      </c>
    </row>
    <row r="17">
      <c r="A17" t="s" s="23">
        <v>120</v>
      </c>
      <c r="B17" t="s" s="23">
        <v>123</v>
      </c>
      <c r="C17" t="s" s="38">
        <v>19</v>
      </c>
      <c r="D17" t="s" s="39">
        <v>104</v>
      </c>
      <c r="E17" t="s" s="23">
        <v>124</v>
      </c>
    </row>
    <row r="18">
      <c r="A18" t="s" s="23">
        <v>125</v>
      </c>
      <c r="B18" t="s" s="23">
        <v>126</v>
      </c>
      <c r="C18" t="s" s="38">
        <v>95</v>
      </c>
      <c r="D18" t="s" s="39">
        <v>128</v>
      </c>
      <c r="E18" t="s" s="23">
        <v>127</v>
      </c>
    </row>
    <row r="19">
      <c r="A19" t="s" s="23">
        <v>129</v>
      </c>
      <c r="B19" t="s" s="23">
        <v>130</v>
      </c>
      <c r="C19" t="s" s="38">
        <v>95</v>
      </c>
      <c r="D19" t="s" s="39">
        <v>132</v>
      </c>
      <c r="E19" t="s" s="23">
        <v>131</v>
      </c>
    </row>
    <row r="20">
      <c r="A20" t="s" s="23">
        <v>133</v>
      </c>
      <c r="B20" t="s" s="23">
        <v>134</v>
      </c>
      <c r="C20" t="s" s="38">
        <v>23</v>
      </c>
      <c r="D20" t="s" s="39">
        <v>104</v>
      </c>
      <c r="E20" t="s" s="23">
        <v>135</v>
      </c>
    </row>
    <row r="21">
      <c r="A21" t="s" s="23">
        <v>133</v>
      </c>
      <c r="B21" t="s" s="23">
        <v>136</v>
      </c>
      <c r="C21" t="s" s="38">
        <v>23</v>
      </c>
      <c r="D21" t="s" s="39">
        <v>104</v>
      </c>
      <c r="E21" t="s" s="23">
        <v>137</v>
      </c>
    </row>
    <row r="22">
      <c r="A22" t="s" s="23">
        <v>138</v>
      </c>
      <c r="B22" t="s" s="23">
        <v>139</v>
      </c>
      <c r="C22" t="s" s="38">
        <v>26</v>
      </c>
      <c r="D22" t="s" s="39">
        <v>104</v>
      </c>
      <c r="E22" t="s" s="23">
        <v>25</v>
      </c>
    </row>
    <row r="23">
      <c r="A23" t="s" s="23">
        <v>138</v>
      </c>
      <c r="B23" t="s" s="23">
        <v>140</v>
      </c>
      <c r="C23" t="s" s="38">
        <v>26</v>
      </c>
      <c r="D23" t="s" s="39">
        <v>104</v>
      </c>
      <c r="E23" t="s" s="23">
        <v>141</v>
      </c>
    </row>
    <row r="26">
      <c r="A26" t="s" s="18">
        <v>142</v>
      </c>
    </row>
    <row r="27">
      <c r="A27" t="s" s="19">
        <v>143</v>
      </c>
      <c r="B27" t="s" s="19">
        <v>144</v>
      </c>
      <c r="C27" t="s" s="19">
        <v>145</v>
      </c>
      <c r="D27" t="s" s="19">
        <v>146</v>
      </c>
      <c r="E27" t="s" s="19">
        <v>147</v>
      </c>
      <c r="F27" t="s" s="19">
        <v>148</v>
      </c>
    </row>
    <row r="28">
      <c r="A28" t="s" s="23">
        <v>42</v>
      </c>
      <c r="C28" t="n" s="0">
        <v>2.0</v>
      </c>
      <c r="D28" t="s" s="39">
        <v>150</v>
      </c>
      <c r="E28" t="s" s="23">
        <v>149</v>
      </c>
      <c r="F28" t="n">
        <f>IF(IFERROR(IF(ISBLANK('Audit snapshot'!$C$28),ISBLANK('Inputs'!$C$11),AND(NOT(ISBLANK('Inputs'!$C$11)),ISNUMBER('Inputs'!$C$11)=ISNUMBER('Audit snapshot'!$C$28),ISTEXT('Inputs'!$C$11)=ISTEXT('Audit snapshot'!$C$28),ISLOGICAL('Inputs'!$C$11)=ISLOGICAL('Audit snapshot'!$C$28),IF(ISTEXT('Audit snapshot'!$C$28),EXACT('Inputs'!$C$11,'Audit snapshot'!$C$28),'Inputs'!$C$11='Audit snapshot'!$C$28))),FALSE),0,1)</f>
        <v>0.0</v>
      </c>
    </row>
    <row r="29">
      <c r="A29" t="s" s="23">
        <v>30</v>
      </c>
      <c r="B29" t="s" s="23">
        <v>151</v>
      </c>
      <c r="C29" t="s" s="0">
        <v>4</v>
      </c>
      <c r="D29" t="s" s="39">
        <v>153</v>
      </c>
      <c r="E29" t="s" s="23">
        <v>152</v>
      </c>
      <c r="F29" t="n">
        <f>IF(IFERROR(IF(ISBLANK('Audit snapshot'!$C$29),ISBLANK('Inputs'!$C$7),AND(NOT(ISBLANK('Inputs'!$C$7)),ISNUMBER('Inputs'!$C$7)=ISNUMBER('Audit snapshot'!$C$29),ISTEXT('Inputs'!$C$7)=ISTEXT('Audit snapshot'!$C$29),ISLOGICAL('Inputs'!$C$7)=ISLOGICAL('Audit snapshot'!$C$29),IF(ISTEXT('Audit snapshot'!$C$29),EXACT('Inputs'!$C$7,'Audit snapshot'!$C$29),'Inputs'!$C$7='Audit snapshot'!$C$29))),FALSE),0,1)</f>
        <v>0.0</v>
      </c>
    </row>
    <row r="30">
      <c r="A30" t="s" s="23">
        <v>30</v>
      </c>
      <c r="B30" t="s" s="23">
        <v>154</v>
      </c>
      <c r="C30" t="n" s="0">
        <v>100.0</v>
      </c>
      <c r="D30" t="s" s="39">
        <v>155</v>
      </c>
      <c r="E30" t="s" s="23">
        <v>152</v>
      </c>
      <c r="F30" t="n">
        <f>IF(IFERROR(IF(ISBLANK('Audit snapshot'!$C$30),ISBLANK('Inputs'!$G$7),AND(NOT(ISBLANK('Inputs'!$G$7)),ISNUMBER('Inputs'!$G$7)=ISNUMBER('Audit snapshot'!$C$30),ISTEXT('Inputs'!$G$7)=ISTEXT('Audit snapshot'!$C$30),ISLOGICAL('Inputs'!$G$7)=ISLOGICAL('Audit snapshot'!$C$30),IF(ISTEXT('Audit snapshot'!$C$30),EXACT('Inputs'!$G$7,'Audit snapshot'!$C$30),'Inputs'!$G$7='Audit snapshot'!$C$30))),FALSE),0,1)</f>
        <v>0.0</v>
      </c>
    </row>
    <row r="31">
      <c r="A31" t="s" s="23">
        <v>30</v>
      </c>
      <c r="B31" t="s" s="23">
        <v>156</v>
      </c>
      <c r="C31" t="n" s="0">
        <v>10.0</v>
      </c>
      <c r="D31" t="s" s="39">
        <v>157</v>
      </c>
      <c r="E31" t="s" s="23">
        <v>152</v>
      </c>
      <c r="F31" t="n">
        <f>IF(IFERROR(IF(ISBLANK('Audit snapshot'!$C$31),ISBLANK('Inputs'!$F$6),AND(NOT(ISBLANK('Inputs'!$F$6)),ISNUMBER('Inputs'!$F$6)=ISNUMBER('Audit snapshot'!$C$31),ISTEXT('Inputs'!$F$6)=ISTEXT('Audit snapshot'!$C$31),ISLOGICAL('Inputs'!$F$6)=ISLOGICAL('Audit snapshot'!$C$31),IF(ISTEXT('Audit snapshot'!$C$31),EXACT('Inputs'!$F$6,'Audit snapshot'!$C$31),'Inputs'!$F$6='Audit snapshot'!$C$31))),FALSE),0,1)</f>
        <v>0.0</v>
      </c>
    </row>
    <row r="32">
      <c r="A32" t="s" s="23">
        <v>30</v>
      </c>
      <c r="B32" t="s" s="23">
        <v>158</v>
      </c>
      <c r="C32" t="n" s="0">
        <v>12.0</v>
      </c>
      <c r="D32" t="s" s="39">
        <v>159</v>
      </c>
      <c r="E32" t="s" s="23">
        <v>152</v>
      </c>
      <c r="F32" t="n">
        <f>IF(IFERROR(IF(ISBLANK('Audit snapshot'!$C$32),ISBLANK('Inputs'!$E$6),AND(NOT(ISBLANK('Inputs'!$E$6)),ISNUMBER('Inputs'!$E$6)=ISNUMBER('Audit snapshot'!$C$32),ISTEXT('Inputs'!$E$6)=ISTEXT('Audit snapshot'!$C$32),ISLOGICAL('Inputs'!$E$6)=ISLOGICAL('Audit snapshot'!$C$32),IF(ISTEXT('Audit snapshot'!$C$32),EXACT('Inputs'!$E$6,'Audit snapshot'!$C$32),'Inputs'!$E$6='Audit snapshot'!$C$32))),FALSE),0,1)</f>
        <v>0.0</v>
      </c>
    </row>
    <row r="33">
      <c r="A33" t="s" s="23">
        <v>30</v>
      </c>
      <c r="B33" t="s" s="23">
        <v>160</v>
      </c>
      <c r="C33" t="n" s="0">
        <v>11.25</v>
      </c>
      <c r="D33" t="s" s="39">
        <v>161</v>
      </c>
      <c r="E33" t="s" s="23">
        <v>152</v>
      </c>
      <c r="F33" t="n">
        <f>IF(IFERROR(IF(ISBLANK('Audit snapshot'!$C$33),ISBLANK('Inputs'!$F$7),AND(NOT(ISBLANK('Inputs'!$F$7)),ISNUMBER('Inputs'!$F$7)=ISNUMBER('Audit snapshot'!$C$33),ISTEXT('Inputs'!$F$7)=ISTEXT('Audit snapshot'!$C$33),ISLOGICAL('Inputs'!$F$7)=ISLOGICAL('Audit snapshot'!$C$33),IF(ISTEXT('Audit snapshot'!$C$33),EXACT('Inputs'!$F$7,'Audit snapshot'!$C$33),'Inputs'!$F$7='Audit snapshot'!$C$33))),FALSE),0,1)</f>
        <v>0.0</v>
      </c>
    </row>
    <row r="34">
      <c r="A34" t="s" s="23">
        <v>30</v>
      </c>
      <c r="B34" t="s" s="23">
        <v>162</v>
      </c>
      <c r="C34" t="n" s="0">
        <v>8.0</v>
      </c>
      <c r="D34" t="s" s="39">
        <v>163</v>
      </c>
      <c r="E34" t="s" s="23">
        <v>152</v>
      </c>
      <c r="F34" t="n">
        <f>IF(IFERROR(IF(ISBLANK('Audit snapshot'!$C$34),ISBLANK('Inputs'!$D$7),AND(NOT(ISBLANK('Inputs'!$D$7)),ISNUMBER('Inputs'!$D$7)=ISNUMBER('Audit snapshot'!$C$34),ISTEXT('Inputs'!$D$7)=ISTEXT('Audit snapshot'!$C$34),ISLOGICAL('Inputs'!$D$7)=ISLOGICAL('Audit snapshot'!$C$34),IF(ISTEXT('Audit snapshot'!$C$34),EXACT('Inputs'!$D$7,'Audit snapshot'!$C$34),'Inputs'!$D$7='Audit snapshot'!$C$34))),FALSE),0,1)</f>
        <v>0.0</v>
      </c>
    </row>
    <row r="35">
      <c r="A35" t="s" s="23">
        <v>30</v>
      </c>
      <c r="B35" t="s" s="23">
        <v>164</v>
      </c>
      <c r="C35" t="n" s="0">
        <v>10.0</v>
      </c>
      <c r="D35" t="s" s="39">
        <v>157</v>
      </c>
      <c r="E35" t="s" s="23">
        <v>152</v>
      </c>
      <c r="F35" t="n">
        <f>IF(IFERROR(IF(ISBLANK('Audit snapshot'!$C$35),ISBLANK('Inputs'!$E$7),AND(NOT(ISBLANK('Inputs'!$E$7)),ISNUMBER('Inputs'!$E$7)=ISNUMBER('Audit snapshot'!$C$35),ISTEXT('Inputs'!$E$7)=ISTEXT('Audit snapshot'!$C$35),ISLOGICAL('Inputs'!$E$7)=ISLOGICAL('Audit snapshot'!$C$35),IF(ISTEXT('Audit snapshot'!$C$35),EXACT('Inputs'!$E$7,'Audit snapshot'!$C$35),'Inputs'!$E$7='Audit snapshot'!$C$35))),FALSE),0,1)</f>
        <v>0.0</v>
      </c>
    </row>
    <row r="36">
      <c r="A36" t="s" s="23">
        <v>30</v>
      </c>
      <c r="B36" t="s" s="23">
        <v>165</v>
      </c>
      <c r="C36" t="n" s="0">
        <v>13.0</v>
      </c>
      <c r="D36" t="s" s="39">
        <v>166</v>
      </c>
      <c r="E36" t="s" s="23">
        <v>152</v>
      </c>
      <c r="F36" t="n">
        <f>IF(IFERROR(IF(ISBLANK('Audit snapshot'!$C$36),ISBLANK('Inputs'!$D$6),AND(NOT(ISBLANK('Inputs'!$D$6)),ISNUMBER('Inputs'!$D$6)=ISNUMBER('Audit snapshot'!$C$36),ISTEXT('Inputs'!$D$6)=ISTEXT('Audit snapshot'!$C$36),ISLOGICAL('Inputs'!$D$6)=ISLOGICAL('Audit snapshot'!$C$36),IF(ISTEXT('Audit snapshot'!$C$36),EXACT('Inputs'!$D$6,'Audit snapshot'!$C$36),'Inputs'!$D$6='Audit snapshot'!$C$36))),FALSE),0,1)</f>
        <v>0.0</v>
      </c>
    </row>
    <row r="37">
      <c r="A37" t="s" s="23">
        <v>30</v>
      </c>
      <c r="B37" t="s" s="23">
        <v>167</v>
      </c>
      <c r="C37" t="s" s="0">
        <v>38</v>
      </c>
      <c r="D37" t="s" s="39">
        <v>168</v>
      </c>
      <c r="E37" t="s" s="23">
        <v>152</v>
      </c>
      <c r="F37" t="n">
        <f>IF(IFERROR(IF(ISBLANK('Audit snapshot'!$C$37),ISBLANK('Inputs'!$B$6),AND(NOT(ISBLANK('Inputs'!$B$6)),ISNUMBER('Inputs'!$B$6)=ISNUMBER('Audit snapshot'!$C$37),ISTEXT('Inputs'!$B$6)=ISTEXT('Audit snapshot'!$C$37),ISLOGICAL('Inputs'!$B$6)=ISLOGICAL('Audit snapshot'!$C$37),IF(ISTEXT('Audit snapshot'!$C$37),EXACT('Inputs'!$B$6,'Audit snapshot'!$C$37),'Inputs'!$B$6='Audit snapshot'!$C$37))),FALSE),0,1)</f>
        <v>0.0</v>
      </c>
    </row>
    <row r="38">
      <c r="A38" t="s" s="23">
        <v>30</v>
      </c>
      <c r="B38" t="s" s="23">
        <v>169</v>
      </c>
      <c r="C38" t="s" s="0">
        <v>40</v>
      </c>
      <c r="D38" t="s" s="39">
        <v>170</v>
      </c>
      <c r="E38" t="s" s="23">
        <v>152</v>
      </c>
      <c r="F38" t="n">
        <f>IF(IFERROR(IF(ISBLANK('Audit snapshot'!$C$38),ISBLANK('Inputs'!$B$7),AND(NOT(ISBLANK('Inputs'!$B$7)),ISNUMBER('Inputs'!$B$7)=ISNUMBER('Audit snapshot'!$C$38),ISTEXT('Inputs'!$B$7)=ISTEXT('Audit snapshot'!$C$38),ISLOGICAL('Inputs'!$B$7)=ISLOGICAL('Audit snapshot'!$C$38),IF(ISTEXT('Audit snapshot'!$C$38),EXACT('Inputs'!$B$7,'Audit snapshot'!$C$38),'Inputs'!$B$7='Audit snapshot'!$C$38))),FALSE),0,1)</f>
        <v>0.0</v>
      </c>
    </row>
    <row r="39">
      <c r="A39" t="s" s="23">
        <v>30</v>
      </c>
      <c r="B39" t="s" s="23">
        <v>171</v>
      </c>
      <c r="C39" t="n" s="0">
        <v>150.0</v>
      </c>
      <c r="D39" t="s" s="39">
        <v>172</v>
      </c>
      <c r="E39" t="s" s="23">
        <v>152</v>
      </c>
      <c r="F39" t="n">
        <f>IF(IFERROR(IF(ISBLANK('Audit snapshot'!$C$39),ISBLANK('Inputs'!$G$6),AND(NOT(ISBLANK('Inputs'!$G$6)),ISNUMBER('Inputs'!$G$6)=ISNUMBER('Audit snapshot'!$C$39),ISTEXT('Inputs'!$G$6)=ISTEXT('Audit snapshot'!$C$39),ISLOGICAL('Inputs'!$G$6)=ISLOGICAL('Audit snapshot'!$C$39),IF(ISTEXT('Audit snapshot'!$C$39),EXACT('Inputs'!$G$6,'Audit snapshot'!$C$39),'Inputs'!$G$6='Audit snapshot'!$C$39))),FALSE),0,1)</f>
        <v>0.0</v>
      </c>
    </row>
    <row r="40">
      <c r="A40" t="s" s="23">
        <v>30</v>
      </c>
      <c r="B40" t="s" s="23">
        <v>173</v>
      </c>
      <c r="C40" t="s" s="0">
        <v>3</v>
      </c>
      <c r="D40" t="s" s="39">
        <v>174</v>
      </c>
      <c r="E40" t="s" s="23">
        <v>152</v>
      </c>
      <c r="F40" t="n">
        <f>IF(IFERROR(IF(ISBLANK('Audit snapshot'!$C$40),ISBLANK('Inputs'!$C$6),AND(NOT(ISBLANK('Inputs'!$C$6)),ISNUMBER('Inputs'!$C$6)=ISNUMBER('Audit snapshot'!$C$40),ISTEXT('Inputs'!$C$6)=ISTEXT('Audit snapshot'!$C$40),ISLOGICAL('Inputs'!$C$6)=ISLOGICAL('Audit snapshot'!$C$40),IF(ISTEXT('Audit snapshot'!$C$40),EXACT('Inputs'!$C$6,'Audit snapshot'!$C$40),'Inputs'!$C$6='Audit snapshot'!$C$40))),FALSE),0,1)</f>
        <v>0.0</v>
      </c>
    </row>
  </sheetData>
  <sheetProtection password="AC1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2026-10-10T15:50:24Z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mantra.audit.status-address">
    <vt:lpwstr>'Audit snapshot'!$B$3</vt:lpwstr>
  </property>
</Properties>
</file>