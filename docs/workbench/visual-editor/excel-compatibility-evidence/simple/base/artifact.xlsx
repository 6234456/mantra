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bersicht" r:id="rId3" sheetId="1"/>
    <sheet name="1 Scalar compatibility proof" r:id="rId4" sheetId="2"/>
    <sheet name="Eingaben" r:id="rId5" sheetId="3"/>
    <sheet name="Parameter" r:id="rId6" sheetId="4"/>
    <sheet name="Hilfsrechnungen" r:id="rId7" sheetId="5"/>
    <sheet name="Audit-Snapshot" r:id="rId8" sheetId="6"/>
  </sheets>
  <definedNames>
    <definedName name="_xlnm.Print_Titles" localSheetId="1">'1 Scalar compatibility proof'!$4:$4</definedName>
    <definedName name="doubled">'1 Scalar compatibility proof'!$C$6</definedName>
    <definedName name="increased">'1 Scalar compatibility proof'!$C$7</definedName>
    <definedName name="quantity">'Eingaben'!$C$4</definedName>
  </definedNames>
  <calcPr fullCalcOnLoad="true"/>
</workbook>
</file>

<file path=xl/sharedStrings.xml><?xml version="1.0" encoding="utf-8"?>
<sst xmlns="http://schemas.openxmlformats.org/spreadsheetml/2006/main" count="79" uniqueCount="62">
  <si>
    <t>Scalar compatibility proof</t>
  </si>
  <si>
    <t>Zeile</t>
  </si>
  <si>
    <t>Bezeichnung</t>
  </si>
  <si>
    <t>EUR</t>
  </si>
  <si>
    <t>Formel (Mantra-DSL)</t>
  </si>
  <si>
    <t/>
  </si>
  <si>
    <t>Calculation</t>
  </si>
  <si>
    <t>1</t>
  </si>
  <si>
    <t>Quantity times two</t>
  </si>
  <si>
    <t>(* quantity 2)</t>
  </si>
  <si>
    <t>2</t>
  </si>
  <si>
    <t>Quantity plus five</t>
  </si>
  <si>
    <t>(+ quantity 5)</t>
  </si>
  <si>
    <t>Eingaben (gelb: änderbar)</t>
  </si>
  <si>
    <t>quantity</t>
  </si>
  <si>
    <t>Parameter (blau: änderbar)</t>
  </si>
  <si>
    <t>Name</t>
  </si>
  <si>
    <t>Wert</t>
  </si>
  <si>
    <t>Rechtsgrundlage</t>
  </si>
  <si>
    <t>Hilfsrechnungen (Bedingungen und nicht dargestellte Zeilen)</t>
  </si>
  <si>
    <t>Mandant</t>
  </si>
  <si>
    <t>Initial fictional quantity</t>
  </si>
  <si>
    <t>Berechnungsschema</t>
  </si>
  <si>
    <t>Scalar compatibility proof v1.0.0 [audit/simple]</t>
  </si>
  <si>
    <t>Aufbau der Berechnung</t>
  </si>
  <si>
    <t>Schritt</t>
  </si>
  <si>
    <t>Bereich</t>
  </si>
  <si>
    <t>Rolle</t>
  </si>
  <si>
    <t>Ergebnis</t>
  </si>
  <si>
    <t>fließt ein in</t>
  </si>
  <si>
    <t>Hauptlinie</t>
  </si>
  <si>
    <t>Prüfzeichen</t>
  </si>
  <si>
    <t>Eingabe – änderbar, alle Formeln rechnen neu</t>
  </si>
  <si>
    <t>Parameter des Berechnungsschemas – änderbar</t>
  </si>
  <si>
    <t>Wert ohne Formel (siehe unten)</t>
  </si>
  <si>
    <t>Formelabdeckung</t>
  </si>
  <si>
    <t>Formelzellen</t>
  </si>
  <si>
    <t>Werte ohne Formel</t>
  </si>
  <si>
    <t>0</t>
  </si>
  <si>
    <t>Berechnungsnachweis</t>
  </si>
  <si>
    <t>Trace und Originalwerte sind ein Snapshot bei Erstellung. Änderungen rechnen Formeln neu, nicht den Trace.</t>
  </si>
  <si>
    <t>Snapshot-Status</t>
  </si>
  <si>
    <t>audit/simple</t>
  </si>
  <si>
    <t>Case</t>
  </si>
  <si>
    <t>audit/simple-base</t>
  </si>
  <si>
    <t>Formel</t>
  </si>
  <si>
    <t>Rechenweg</t>
  </si>
  <si>
    <t>1/1</t>
  </si>
  <si>
    <t>20,00</t>
  </si>
  <si>
    <t>[Audit-Trace nicht angefordert]</t>
  </si>
  <si>
    <t>1/2</t>
  </si>
  <si>
    <t>15,00</t>
  </si>
  <si>
    <t>Originale Eingaben und wirksame Parameter</t>
  </si>
  <si>
    <t>Node</t>
  </si>
  <si>
    <t>Coordinate / field</t>
  </si>
  <si>
    <t>Original Excel value</t>
  </si>
  <si>
    <t>Exact engine value</t>
  </si>
  <si>
    <t>Origin</t>
  </si>
  <si>
    <t>Changed</t>
  </si>
  <si>
    <t>case</t>
  </si>
  <si>
    <t>10</t>
  </si>
  <si>
    <t>Audit-Snapshot (bei Erstellung)</t>
  </si>
</sst>
</file>

<file path=xl/styles.xml><?xml version="1.0" encoding="utf-8"?>
<styleSheet xmlns="http://schemas.openxmlformats.org/spreadsheetml/2006/main">
  <numFmts count="1">
    <numFmt numFmtId="164" formatCode="#,##0.00;-#,##0.00;#,##0.00"/>
  </numFmts>
  <fonts count="9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0.0"/>
      <b val="true"/>
    </font>
    <font>
      <name val="Calibri"/>
      <sz val="10.0"/>
      <color rgb="FF6B7280"/>
    </font>
    <font>
      <name val="Calibri"/>
      <sz val="10.0"/>
      <i val="true"/>
      <color rgb="FF6B7280"/>
    </font>
    <font>
      <name val="Calibri"/>
      <sz val="10.0"/>
    </font>
    <font>
      <name val="Calibri"/>
      <sz val="15.0"/>
      <b val="true"/>
    </font>
    <font>
      <name val="Calibri"/>
      <sz val="12.0"/>
      <b val="true"/>
    </font>
    <font>
      <name val="Calibri"/>
      <sz val="10.0"/>
      <b val="true"/>
      <color rgb="FF1F5FBF"/>
      <u val="single"/>
    </font>
  </fonts>
  <fills count="10">
    <fill>
      <patternFill patternType="none"/>
    </fill>
    <fill>
      <patternFill patternType="darkGray"/>
    </fill>
    <fill>
      <patternFill patternType="none">
        <fgColor rgb="E7EAEE"/>
      </patternFill>
    </fill>
    <fill>
      <patternFill patternType="solid">
        <fgColor rgb="E7EAEE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CE4D6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general" vertical="top" wrapText="false" indent="0"/>
    </xf>
    <xf numFmtId="0" fontId="2" fillId="3" borderId="1" xfId="0" applyFont="true" applyFill="true" applyBorder="true" applyAlignment="true">
      <alignment horizontal="left" vertical="top" wrapText="true" indent="0"/>
    </xf>
    <xf numFmtId="0" fontId="2" fillId="3" borderId="1" xfId="0" applyFont="true" applyFill="true" applyBorder="true" applyAlignment="true">
      <alignment horizontal="right" vertical="top" wrapText="true" indent="0"/>
    </xf>
    <xf numFmtId="0" fontId="3" fillId="0" borderId="0" xfId="0" applyFont="true" applyAlignment="true">
      <alignment horizontal="general" vertical="top" wrapText="false" indent="0"/>
    </xf>
    <xf numFmtId="0" fontId="2" fillId="0" borderId="0" xfId="0" applyFont="true" applyAlignment="true">
      <alignment horizontal="general" vertical="top" wrapText="false" indent="0"/>
    </xf>
    <xf numFmtId="0" fontId="3" fillId="0" borderId="0" xfId="0" applyFont="true" applyAlignment="true">
      <alignment horizontal="general" vertical="top" wrapText="false" indent="1"/>
    </xf>
    <xf numFmtId="0" fontId="4" fillId="0" borderId="0" xfId="0" applyFont="true" applyAlignment="true">
      <alignment horizontal="general" vertical="top" wrapText="false" indent="0"/>
    </xf>
    <xf numFmtId="0" fontId="2" fillId="3" borderId="0" xfId="0" applyFont="true" applyFill="true" applyAlignment="true">
      <alignment horizontal="general" vertical="top" wrapText="false" indent="0"/>
    </xf>
    <xf numFmtId="0" fontId="5" fillId="0" borderId="0" xfId="0" applyFont="true" applyAlignment="true">
      <alignment horizontal="general" vertical="top" wrapText="false" indent="0"/>
    </xf>
    <xf numFmtId="0" fontId="2" fillId="3" borderId="1" xfId="0" applyFont="true" applyFill="true" applyBorder="true" applyAlignment="true">
      <alignment horizontal="general" vertical="top" wrapText="false" indent="0"/>
    </xf>
    <xf numFmtId="164" fontId="3" fillId="0" borderId="0" xfId="0" applyNumberFormat="true" applyFont="true" applyAlignment="true">
      <alignment horizontal="general" vertical="top" wrapText="false" indent="0"/>
    </xf>
    <xf numFmtId="164" fontId="5" fillId="5" borderId="0" xfId="0" applyNumberFormat="true" applyFont="true" applyFill="true" applyAlignment="true">
      <alignment horizontal="general" vertical="top" wrapText="false" indent="0"/>
    </xf>
    <xf numFmtId="0" fontId="6" fillId="0" borderId="0" xfId="0" applyFont="true" applyAlignment="true">
      <alignment horizontal="general" vertical="top" wrapText="false" indent="0"/>
    </xf>
    <xf numFmtId="0" fontId="7" fillId="0" borderId="0" xfId="0" applyFont="true" applyAlignment="true">
      <alignment horizontal="general" vertical="top" wrapText="false" indent="0"/>
    </xf>
    <xf numFmtId="0" fontId="2" fillId="3" borderId="1" xfId="0" applyFont="true" applyFill="true" applyBorder="true" applyAlignment="true">
      <alignment horizontal="left" vertical="top" wrapText="false" indent="0"/>
    </xf>
    <xf numFmtId="0" fontId="2" fillId="3" borderId="1" xfId="0" applyFont="true" applyFill="true" applyBorder="true" applyAlignment="true">
      <alignment horizontal="right" vertical="top" wrapText="false" indent="0"/>
    </xf>
    <xf numFmtId="0" fontId="8" fillId="0" borderId="0" xfId="0" applyFont="true" applyAlignment="true">
      <alignment horizontal="general" vertical="top" wrapText="false" indent="0"/>
    </xf>
    <xf numFmtId="0" fontId="5" fillId="5" borderId="0" xfId="0" applyFont="true" applyFill="true" applyAlignment="true">
      <alignment horizontal="general" vertical="top" wrapText="false" indent="0"/>
    </xf>
    <xf numFmtId="0" fontId="5" fillId="7" borderId="0" xfId="0" applyFont="true" applyFill="true" applyAlignment="true">
      <alignment horizontal="general" vertical="top" wrapText="false" indent="0"/>
    </xf>
    <xf numFmtId="0" fontId="5" fillId="9" borderId="0" xfId="0" applyFont="true" applyFill="true" applyAlignment="true">
      <alignment horizontal="general" vertical="top" wrapText="false" indent="0"/>
    </xf>
    <xf numFmtId="0" fontId="3" fillId="0" borderId="0" xfId="0" applyFont="true" applyAlignment="true">
      <alignment horizontal="general" vertical="top" wrapText="true" indent="0"/>
    </xf>
    <xf numFmtId="0" fontId="5" fillId="0" borderId="0" xfId="0" applyFont="true" applyAlignment="true">
      <alignment horizontal="general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10.0" customWidth="true"/>
    <col min="2" max="2" width="60.0" customWidth="true"/>
    <col min="3" max="3" width="22.0" customWidth="true"/>
    <col min="4" max="4" width="18.0" customWidth="true"/>
    <col min="5" max="5" width="60.0" customWidth="true"/>
  </cols>
  <sheetData>
    <row r="1">
      <c r="A1" t="s" s="13">
        <v>0</v>
      </c>
    </row>
    <row r="2">
      <c r="E2" t="s" s="9">
        <v>61</v>
      </c>
    </row>
    <row r="3">
      <c r="E3" t="str" s="0">
        <f>'Audit-Snapshot'!$B$3</f>
        <v>current</v>
      </c>
    </row>
    <row r="4">
      <c r="A4" t="s" s="4">
        <v>20</v>
      </c>
      <c r="B4" t="s" s="9">
        <v>21</v>
      </c>
    </row>
    <row r="5">
      <c r="A5" t="s" s="4">
        <v>22</v>
      </c>
      <c r="B5" t="s" s="9">
        <v>23</v>
      </c>
    </row>
    <row r="7">
      <c r="A7" t="s" s="14">
        <v>24</v>
      </c>
    </row>
    <row r="8">
      <c r="A8" t="s" s="15">
        <v>25</v>
      </c>
      <c r="B8" t="s" s="15">
        <v>26</v>
      </c>
      <c r="C8" t="s" s="15">
        <v>27</v>
      </c>
      <c r="D8" t="s" s="16">
        <v>28</v>
      </c>
      <c r="E8" t="s" s="15">
        <v>29</v>
      </c>
    </row>
    <row r="9">
      <c r="A9" t="s" s="5">
        <v>7</v>
      </c>
      <c r="B9" t="s" s="17">
        <v>6</v>
      </c>
      <c r="C9" t="s" s="4">
        <v>30</v>
      </c>
    </row>
    <row r="11">
      <c r="A11" t="s" s="5">
        <v>31</v>
      </c>
    </row>
    <row r="12">
      <c r="A12" s="18"/>
      <c r="B12" t="s" s="9">
        <v>32</v>
      </c>
    </row>
    <row r="13">
      <c r="A13" s="19"/>
      <c r="B13" t="s" s="9">
        <v>33</v>
      </c>
    </row>
    <row r="14">
      <c r="A14" s="20"/>
      <c r="B14" t="s" s="9">
        <v>34</v>
      </c>
    </row>
    <row r="16">
      <c r="A16" t="s" s="5">
        <v>35</v>
      </c>
    </row>
    <row r="17">
      <c r="B17" t="s" s="9">
        <v>36</v>
      </c>
      <c r="C17" t="s" s="9">
        <v>10</v>
      </c>
    </row>
    <row r="18">
      <c r="B18" t="s" s="9">
        <v>37</v>
      </c>
      <c r="C18" t="s" s="9">
        <v>38</v>
      </c>
    </row>
  </sheetData>
  <hyperlinks>
    <hyperlink location="'Audit-Snapshot'!A1" ref="E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true"/>
    <pageSetUpPr fitToPage="true"/>
  </sheetPr>
  <dimension ref="A1:D7"/>
  <sheetViews>
    <sheetView workbookViewId="0">
      <pane ySplit="4.0" state="frozen" topLeftCell="A5" activePane="bottomLeft"/>
      <selection pane="bottomLeft"/>
    </sheetView>
  </sheetViews>
  <sheetFormatPr defaultRowHeight="15.0" outlineLevelRow="1" outlineLevelCol="1"/>
  <cols>
    <col min="1" max="1" width="6.0" customWidth="true"/>
    <col min="2" max="2" width="62.0" customWidth="true"/>
    <col min="3" max="3" width="16.0" customWidth="true"/>
    <col min="4" max="4" customWidth="true" width="60.0" outlineLevel="1" hidden="true"/>
    <col min="5" max="5" collapsed="true" width="8.0" customWidth="false"/>
  </cols>
  <sheetData>
    <row r="1">
      <c r="A1" t="s" s="1">
        <v>0</v>
      </c>
    </row>
    <row r="4">
      <c r="A4" t="s" s="2">
        <v>1</v>
      </c>
      <c r="B4" t="s" s="2">
        <v>2</v>
      </c>
      <c r="C4" t="s" s="3">
        <v>3</v>
      </c>
      <c r="D4" t="s" s="2">
        <v>4</v>
      </c>
    </row>
    <row r="5">
      <c r="A5" t="s" s="4">
        <v>5</v>
      </c>
      <c r="B5" t="s" s="5">
        <v>6</v>
      </c>
    </row>
    <row r="6" outlineLevel="1">
      <c r="A6" t="s" s="4">
        <v>7</v>
      </c>
      <c r="B6" t="s" s="6">
        <v>8</v>
      </c>
      <c r="C6" s="11" t="n">
        <f>quantity*2</f>
        <v>20.0</v>
      </c>
      <c r="D6" t="s" s="7">
        <v>9</v>
      </c>
    </row>
    <row r="7" outlineLevel="1">
      <c r="A7" t="s" s="4">
        <v>10</v>
      </c>
      <c r="B7" t="s" s="6">
        <v>11</v>
      </c>
      <c r="C7" s="11" t="n">
        <f>quantity+5</f>
        <v>15.0</v>
      </c>
      <c r="D7" t="s" s="7">
        <v>12</v>
      </c>
    </row>
  </sheetData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</cols>
  <sheetData>
    <row r="1">
      <c r="A1" t="s" s="1">
        <v>13</v>
      </c>
    </row>
    <row r="3">
      <c r="A3" t="s" s="8">
        <v>6</v>
      </c>
    </row>
    <row r="4">
      <c r="A4" t="s" s="9">
        <v>14</v>
      </c>
      <c r="B4" t="s" s="4">
        <v>14</v>
      </c>
      <c r="C4" t="n" s="1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50.0" customWidth="true"/>
    <col min="2" max="2" width="32.0" customWidth="true"/>
    <col min="3" max="3" width="16.0" customWidth="true"/>
    <col min="4" max="4" width="40.0" customWidth="true"/>
  </cols>
  <sheetData>
    <row r="1">
      <c r="A1" t="s" s="1">
        <v>15</v>
      </c>
    </row>
    <row r="3">
      <c r="A3" t="s" s="10">
        <v>2</v>
      </c>
      <c r="B3" t="s" s="10">
        <v>16</v>
      </c>
      <c r="C3" t="s" s="10">
        <v>17</v>
      </c>
      <c r="D3" t="s" s="10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60.0" customWidth="true"/>
  </cols>
  <sheetData>
    <row r="1">
      <c r="A1" t="s" s="1">
        <v>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4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6.0" customWidth="true"/>
    <col min="2" max="2" width="36.0" customWidth="true"/>
    <col min="3" max="3" width="64.0" customWidth="true"/>
    <col min="4" max="4" width="80.0" customWidth="true"/>
    <col min="5" max="5" width="24.0" customWidth="true"/>
    <col min="6" max="6" width="12.0" customWidth="true"/>
  </cols>
  <sheetData>
    <row r="1">
      <c r="A1" t="s" s="1">
        <v>39</v>
      </c>
    </row>
    <row r="2">
      <c r="A2" t="s" s="21">
        <v>40</v>
      </c>
    </row>
    <row r="3">
      <c r="A3" t="s" s="5">
        <v>41</v>
      </c>
      <c r="B3" t="str" s="0">
        <f>IF(SUM(SUM('Audit-Snapshot'!$F$14:$F$14))&gt;0,"outdated","current")</f>
        <v>current</v>
      </c>
    </row>
    <row r="4">
      <c r="A4" t="s" s="9">
        <v>22</v>
      </c>
      <c r="B4" t="s" s="9">
        <v>42</v>
      </c>
    </row>
    <row r="5">
      <c r="A5" t="s" s="9">
        <v>43</v>
      </c>
      <c r="B5" t="s" s="9">
        <v>44</v>
      </c>
    </row>
    <row r="7">
      <c r="A7" t="s" s="10">
        <v>1</v>
      </c>
      <c r="B7" t="s" s="10">
        <v>2</v>
      </c>
      <c r="C7" t="s" s="10">
        <v>45</v>
      </c>
      <c r="D7" t="s" s="10">
        <v>46</v>
      </c>
      <c r="E7" t="s" s="10">
        <v>28</v>
      </c>
    </row>
    <row r="8">
      <c r="A8" t="s" s="9">
        <v>47</v>
      </c>
      <c r="B8" t="s" s="9">
        <v>8</v>
      </c>
      <c r="C8" t="s" s="21">
        <v>9</v>
      </c>
      <c r="D8" t="s" s="22">
        <v>49</v>
      </c>
      <c r="E8" t="s" s="9">
        <v>48</v>
      </c>
    </row>
    <row r="9">
      <c r="A9" t="s" s="9">
        <v>50</v>
      </c>
      <c r="B9" t="s" s="9">
        <v>11</v>
      </c>
      <c r="C9" t="s" s="21">
        <v>12</v>
      </c>
      <c r="D9" t="s" s="22">
        <v>49</v>
      </c>
      <c r="E9" t="s" s="9">
        <v>51</v>
      </c>
    </row>
    <row r="12">
      <c r="A12" t="s" s="5">
        <v>52</v>
      </c>
    </row>
    <row r="13">
      <c r="A13" t="s" s="10">
        <v>53</v>
      </c>
      <c r="B13" t="s" s="10">
        <v>54</v>
      </c>
      <c r="C13" t="s" s="10">
        <v>55</v>
      </c>
      <c r="D13" t="s" s="10">
        <v>56</v>
      </c>
      <c r="E13" t="s" s="10">
        <v>57</v>
      </c>
      <c r="F13" t="s" s="10">
        <v>58</v>
      </c>
    </row>
    <row r="14">
      <c r="A14" t="s" s="9">
        <v>14</v>
      </c>
      <c r="C14" t="n" s="0">
        <v>10.0</v>
      </c>
      <c r="D14" t="s" s="22">
        <v>60</v>
      </c>
      <c r="E14" t="s" s="9">
        <v>59</v>
      </c>
      <c r="F14" t="n">
        <f>IF(IFERROR(IF(ISBLANK('Audit-Snapshot'!$C$14),ISBLANK('Eingaben'!$C$4),AND(NOT(ISBLANK('Eingaben'!$C$4)),ISNUMBER('Eingaben'!$C$4)=ISNUMBER('Audit-Snapshot'!$C$14),ISTEXT('Eingaben'!$C$4)=ISTEXT('Audit-Snapshot'!$C$14),ISLOGICAL('Eingaben'!$C$4)=ISLOGICAL('Audit-Snapshot'!$C$14),IF(ISTEXT('Audit-Snapshot'!$C$14),EXACT('Eingaben'!$C$4,'Audit-Snapshot'!$C$14),'Eingaben'!$C$4='Audit-Snapshot'!$C$14))),FALSE),0,1)</f>
        <v>0.0</v>
      </c>
    </row>
  </sheetData>
  <sheetProtection password="AC1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2026-10-10T15:50:09Z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mantra.audit.status-address">
    <vt:lpwstr>'Audit-Snapshot'!$B$3</vt:lpwstr>
  </property>
</Properties>
</file>